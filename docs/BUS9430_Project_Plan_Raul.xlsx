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 Plan" sheetId="2" state="visible" r:id="rId4"/>
    <sheet name="Risk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<sst xmlns="http://schemas.openxmlformats.org/spreadsheetml/2006/main" count="208" uniqueCount="148">
  <si>
    <t xml:space="preserve">BUS 9430: Business Analytics Project Management</t>
  </si>
  <si>
    <t xml:space="preserve">Project Plan Development homework (10 pts)</t>
  </si>
  <si>
    <t xml:space="preserve">Prepared by</t>
  </si>
  <si>
    <t xml:space="preserve">Raúl J. Solá Navarro</t>
  </si>
  <si>
    <t xml:space="preserve">Course / Section</t>
  </si>
  <si>
    <t xml:space="preserve">BUS 9430, Fall 2026, Prof. Joseph Sommer</t>
  </si>
  <si>
    <t xml:space="preserve">Date prepared</t>
  </si>
  <si>
    <t xml:space="preserve">09/26/2026</t>
  </si>
  <si>
    <t xml:space="preserve">Last updated</t>
  </si>
  <si>
    <t xml:space="preserve">10/05/2026</t>
  </si>
  <si>
    <t xml:space="preserve">Project title</t>
  </si>
  <si>
    <t xml:space="preserve">Day-Ahead Solar Output Forecasting for Grid Stability (CAISO)</t>
  </si>
  <si>
    <t xml:space="preserve">Business problem</t>
  </si>
  <si>
    <t xml:space="preserve">CAISO, California's grid operator, commits power plants and reserves the day before it needs them. If the solar forecast runs too high, operators face last-minute purchases or plant starts. If it runs too low, they hold reserves they never use, and in spring they curtail solar that the grid cannot absorb. A better day-ahead forecast reduces both costs.</t>
  </si>
  <si>
    <t xml:space="preserve">Analytics objective</t>
  </si>
  <si>
    <t xml:space="preserve">Build and evaluate a day-ahead forecast of CAISO utility-scale solar generation (MW, hourly). Benchmark it against a persistence baseline and CAISO's own day-ahead forecast, then translate the remaining error into an estimate of the reserve capacity (MW) operators would need to hold.</t>
  </si>
  <si>
    <t xml:space="preserve">Success measures</t>
  </si>
  <si>
    <t xml:space="preserve">(1) Normalized MAE (percent of installed solar capacity, daylight hours) no more than 1.25 times CAISO's own day-ahead error. (2) RMSE skill score of at least 0.30 versus persistence. (3) P95 overshoot at least 20% below the persistence baseline. (4) MAPE reported on hours above 5% of capacity, not used to rank models. (5) A one-page plain-language readout. These targets are starting points and get rechecked once the baseline exists (Task 11).</t>
  </si>
  <si>
    <t xml:space="preserve">Scope / boundaries</t>
  </si>
  <si>
    <t xml:space="preserve">CAISO balancing authority, utility-scale solar only. Hourly forecasts issued the day before. Data from January 2024 to the latest available month. Out of scope: wind and other grid operators, intraday updates, plant-level forecasts, and dispatch or production-cost modeling.</t>
  </si>
  <si>
    <t xml:space="preserve">Primary data sources</t>
  </si>
  <si>
    <t xml:space="preserve">EIA Open Data API, hourly solar generation (eia.gov/opendata). CAISO OASIS, day-ahead solar forecast report SLD_REN_FCST (oasis.caiso.com). Open-Meteo Previous Runs API, weather forecasts issued 24 hours earlier (open-meteo.com/en/docs/previous-runs-api). NLR NSRDB, clear-sky and observed irradiance (developer.nlr.gov/docs/solar/nsrdb). EIA Form 860M, installed capacity. CAISO Production and Curtailments Data, curtailed hours. Backup for code testing only: Kaggle plant-level solar data.</t>
  </si>
  <si>
    <t xml:space="preserve">Key limitations (stated up front)</t>
  </si>
  <si>
    <t xml:space="preserve">The weather-forecast archive starts in January 2024, so history is about two and three-quarter years. Generation data is reported after curtailment, so spring output understates what the sun could have supplied. I flag curtailed hours and report results with and without them. CAISO stopped publishing its curtailment report on June 1, 2025, so 2026 curtailment data needs a different source.</t>
  </si>
  <si>
    <t xml:space="preserve">Framework</t>
  </si>
  <si>
    <t xml:space="preserve">This plan follows CRISP-DM (Business Understanding, Data Understanding, Data Preparation, Modeling, Evaluation, Deployment), shown here as the Workstream column.</t>
  </si>
  <si>
    <t xml:space="preserve">Course milestones this plan is built around</t>
  </si>
  <si>
    <t xml:space="preserve">Capstone 1 (Issue Selection and Plan): Oct 13  |  Capstone 2 (Data Understanding and Preparation): Nov 16  |  Capstone 3 (Models and Results): Dec 14</t>
  </si>
  <si>
    <t xml:space="preserve">Supporting documents</t>
  </si>
  <si>
    <t xml:space="preserve">Task 1: Problem Statement and Success Metrics memo. Task 2: Data Source List and Access Plan.</t>
  </si>
  <si>
    <t xml:space="preserve">Task #</t>
  </si>
  <si>
    <t xml:space="preserve">Task Name</t>
  </si>
  <si>
    <t xml:space="preserve">Task Description</t>
  </si>
  <si>
    <t xml:space="preserve">Workstream</t>
  </si>
  <si>
    <t xml:space="preserve">Owner / Role Responsible</t>
  </si>
  <si>
    <t xml:space="preserve">Start Date</t>
  </si>
  <si>
    <t xml:space="preserve">End Date</t>
  </si>
  <si>
    <t xml:space="preserve">Duration (Days)</t>
  </si>
  <si>
    <t xml:space="preserve">Dependency</t>
  </si>
  <si>
    <t xml:space="preserve">Milestone (Y/N)</t>
  </si>
  <si>
    <t xml:space="preserve">Key Deliverable</t>
  </si>
  <si>
    <t xml:space="preserve">Status</t>
  </si>
  <si>
    <t xml:space="preserve">Define project scope and success metrics</t>
  </si>
  <si>
    <t xml:space="preserve">Confirm the business problem (day-ahead solar forecasting for CAISO grid stability), define the target variable, and set success metrics (nMAE versus CAISO's forecast, skill score versus persistence, P95 overshoot).</t>
  </si>
  <si>
    <t xml:space="preserve">Business Understanding</t>
  </si>
  <si>
    <t xml:space="preserve">Raul (with team input)</t>
  </si>
  <si>
    <t xml:space="preserve">None</t>
  </si>
  <si>
    <t xml:space="preserve">No</t>
  </si>
  <si>
    <t xml:space="preserve">Problem statement and success-metrics memo</t>
  </si>
  <si>
    <t xml:space="preserve">In Progress</t>
  </si>
  <si>
    <t xml:space="preserve">Identify and shortlist data sources</t>
  </si>
  <si>
    <t xml:space="preserve">Research and select data sources: EIA hourly generation, CAISO's day-ahead forecast, Open-Meteo 24-hour-ahead weather forecasts, NSRDB irradiance, and EIA-860M capacity. Confirm access requirements.</t>
  </si>
  <si>
    <t xml:space="preserve">Raul</t>
  </si>
  <si>
    <t xml:space="preserve">1</t>
  </si>
  <si>
    <t xml:space="preserve">Data source list and access plan</t>
  </si>
  <si>
    <t xml:space="preserve">Draft and rehearse Capstone 1 presentation</t>
  </si>
  <si>
    <t xml:space="preserve">Prepare slides covering the project issue, plan, target benefits, and delivery risks for the team's graded presentation.</t>
  </si>
  <si>
    <t xml:space="preserve">Team</t>
  </si>
  <si>
    <t xml:space="preserve">2</t>
  </si>
  <si>
    <t xml:space="preserve">Capstone 1 slide deck</t>
  </si>
  <si>
    <t xml:space="preserve">Not Started</t>
  </si>
  <si>
    <t xml:space="preserve">Capstone 1: Issue Selection and Plan</t>
  </si>
  <si>
    <t xml:space="preserve">Present the selected issue, project plan, target benefits, and delivery risks to the class (20% of course grade).</t>
  </si>
  <si>
    <t xml:space="preserve">3</t>
  </si>
  <si>
    <t xml:space="preserve">Yes</t>
  </si>
  <si>
    <t xml:space="preserve">Graded presentation</t>
  </si>
  <si>
    <t xml:space="preserve">Acquire generation and weather data</t>
  </si>
  <si>
    <t xml:space="preserve">Register for EIA and NLR API access and pull January 2024 to the latest month of hourly CAISO solar generation, CAISO's day-ahead forecast, and 24-hour-ahead weather forecasts for several California points.</t>
  </si>
  <si>
    <t xml:space="preserve">Data Understanding</t>
  </si>
  <si>
    <t xml:space="preserve">4</t>
  </si>
  <si>
    <t xml:space="preserve">Raw data extracts (EIA, CAISO, weather)</t>
  </si>
  <si>
    <t xml:space="preserve">Profile data quality</t>
  </si>
  <si>
    <t xml:space="preserve">Assess the data for gaps, outliers, curtailed hours, and timezone or unit differences between sources (standardize on UTC).</t>
  </si>
  <si>
    <t xml:space="preserve">5</t>
  </si>
  <si>
    <t xml:space="preserve">Data quality report</t>
  </si>
  <si>
    <t xml:space="preserve">Merge data and engineer features</t>
  </si>
  <si>
    <t xml:space="preserve">Combine generation, weather, and capacity data into one hourly table; create features such as lagged generation, clear-sky index, forecast cloud cover and radiation, and seasonality indicators.</t>
  </si>
  <si>
    <t xml:space="preserve">Data Preparation</t>
  </si>
  <si>
    <t xml:space="preserve">6</t>
  </si>
  <si>
    <t xml:space="preserve">Analysis-ready dataset</t>
  </si>
  <si>
    <t xml:space="preserve">Create train / validation / test splits</t>
  </si>
  <si>
    <t xml:space="preserve">Partition the dataset in time order (not randomly), holding out the most recent months for testing, to preserve time-series integrity.</t>
  </si>
  <si>
    <t xml:space="preserve">7</t>
  </si>
  <si>
    <t xml:space="preserve">Split dataset</t>
  </si>
  <si>
    <t xml:space="preserve">Prepare Capstone 2 materials</t>
  </si>
  <si>
    <t xml:space="preserve">Summarize data profiling results and the quality/privacy assessment for the team's second graded presentation.</t>
  </si>
  <si>
    <t xml:space="preserve">8</t>
  </si>
  <si>
    <t xml:space="preserve">Capstone 2 slide deck</t>
  </si>
  <si>
    <t xml:space="preserve">Capstone 2: Data Understanding and Preparation</t>
  </si>
  <si>
    <t xml:space="preserve">Present data profiling, preparation approach, and quality/privacy assessment to the class (20% of course grade).</t>
  </si>
  <si>
    <t xml:space="preserve">9</t>
  </si>
  <si>
    <t xml:space="preserve">Build and validate forecasting models</t>
  </si>
  <si>
    <t xml:space="preserve">Build a persistence baseline plus candidate regression and tree-based models; tune and cross-validate in time order.</t>
  </si>
  <si>
    <t xml:space="preserve">Modeling</t>
  </si>
  <si>
    <t xml:space="preserve">10</t>
  </si>
  <si>
    <t xml:space="preserve">Trained and validated models</t>
  </si>
  <si>
    <t xml:space="preserve">Evaluate model performance</t>
  </si>
  <si>
    <t xml:space="preserve">Compare nMAE, skill score, and P95 overshoot against persistence and CAISO's own forecast, and translate forecast error into reserve (MW) implications for the grid.</t>
  </si>
  <si>
    <t xml:space="preserve">Evaluation</t>
  </si>
  <si>
    <t xml:space="preserve">11</t>
  </si>
  <si>
    <t xml:space="preserve">Evaluation summary</t>
  </si>
  <si>
    <t xml:space="preserve">Build performance visualizations</t>
  </si>
  <si>
    <t xml:space="preserve">Create charts comparing actual versus predicted output and forecast error by month for the final report.</t>
  </si>
  <si>
    <t xml:space="preserve">12</t>
  </si>
  <si>
    <t xml:space="preserve">Performance charts</t>
  </si>
  <si>
    <t xml:space="preserve">Prepare and rehearse Capstone 3 presentation</t>
  </si>
  <si>
    <t xml:space="preserve">Assemble final findings, limitations, and recommendations into the team's closing presentation.</t>
  </si>
  <si>
    <t xml:space="preserve">Deployment</t>
  </si>
  <si>
    <t xml:space="preserve">13</t>
  </si>
  <si>
    <t xml:space="preserve">Capstone 3 slide deck</t>
  </si>
  <si>
    <t xml:space="preserve">Capstone 3: Final Presentation</t>
  </si>
  <si>
    <t xml:space="preserve">Present final models, results, and recommendations to the class (20% of course grade).</t>
  </si>
  <si>
    <t xml:space="preserve">14</t>
  </si>
  <si>
    <t xml:space="preserve">Graded final presentation</t>
  </si>
  <si>
    <t xml:space="preserve">Legend:</t>
  </si>
  <si>
    <t xml:space="preserve">Shaded rows</t>
  </si>
  <si>
    <t xml:space="preserve">Milestone (graded course deliverable)</t>
  </si>
  <si>
    <t xml:space="preserve">Status column</t>
  </si>
  <si>
    <t xml:space="preserve">Dropdown; edit as the project progresses. Colors update automatically.</t>
  </si>
  <si>
    <t xml:space="preserve">#</t>
  </si>
  <si>
    <t xml:space="preserve">Risk</t>
  </si>
  <si>
    <t xml:space="preserve">Related Task #</t>
  </si>
  <si>
    <t xml:space="preserve">Likelihood</t>
  </si>
  <si>
    <t xml:space="preserve">Impact</t>
  </si>
  <si>
    <t xml:space="preserve">Mitigation</t>
  </si>
  <si>
    <t xml:space="preserve">EIA or NLR API access delays or rate limits slow the data pull</t>
  </si>
  <si>
    <t xml:space="preserve">Low</t>
  </si>
  <si>
    <t xml:space="preserve">Medium</t>
  </si>
  <si>
    <t xml:space="preserve">Request both API keys by Oct 7, before Capstone 1. If the EIA key is late, use the ACTUAL values from the CAISO OASIS report as the target.</t>
  </si>
  <si>
    <t xml:space="preserve">Timestamp zones differ across sources (UTC, GMT, local time)</t>
  </si>
  <si>
    <t xml:space="preserve">6, 7</t>
  </si>
  <si>
    <t xml:space="preserve">High</t>
  </si>
  <si>
    <t xml:space="preserve">Set UTC as the project standard and check against known sunrise and sunset times before moving on.</t>
  </si>
  <si>
    <t xml:space="preserve">Weather-forecast archive starts January 2024, so history is about two and three-quarter years</t>
  </si>
  <si>
    <t xml:space="preserve">5, 8, 11</t>
  </si>
  <si>
    <t xml:space="preserve">Hold out recent months in time order, report error by month, and state plainly that each calendar month appears only two to three times.</t>
  </si>
  <si>
    <t xml:space="preserve">Model overfits a short history</t>
  </si>
  <si>
    <t xml:space="preserve">Start with simple baselines, use chronological splits, and cross-validate in time order.</t>
  </si>
  <si>
    <t xml:space="preserve">Solar output is reported after curtailment, so spring actuals understate what the sun could supply</t>
  </si>
  <si>
    <t xml:space="preserve">6, 12</t>
  </si>
  <si>
    <t xml:space="preserve">Flag curtailed hours using CAISO's curtailment files (through December 2025) and report results with and without them. Confirm what replaces the report for 2026.</t>
  </si>
  <si>
    <t xml:space="preserve">Competing coursework deadlines (Quiz 1 Oct 26, Quiz 2 Nov 30) land inside feature building and evaluation</t>
  </si>
  <si>
    <t xml:space="preserve">7, 12</t>
  </si>
  <si>
    <t xml:space="preserve">Low-Medium</t>
  </si>
  <si>
    <t xml:space="preserve">Finish the feature work ahead of Quiz 1 and start evaluation prep before Quiz 2. Keep buffer days ahead of each capstone.</t>
  </si>
  <si>
    <t xml:space="preserve">Team disagrees on scope after work has started</t>
  </si>
  <si>
    <t xml:space="preserve">1, 2</t>
  </si>
  <si>
    <t xml:space="preserve">Lock the scope with the team by Oct 8 (memo sign-off) before any data work begins.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</si>
</sst>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CE4D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8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18" hidden="false" customHeight="true" outlineLevel="0" collapsed="false">
      <c r="A7" s="3" t="s">
        <v>8</v>
      </c>
      <c r="B7" s="4" t="s">
        <v>9</v>
      </c>
    </row>
    <row r="8" customFormat="false" ht="18" hidden="false" customHeight="true" outlineLevel="0" collapsed="false">
      <c r="A8" s="3" t="s">
        <v>10</v>
      </c>
      <c r="B8" s="4" t="s">
        <v>11</v>
      </c>
    </row>
    <row r="9" customFormat="false" ht="69.75" hidden="false" customHeight="true" outlineLevel="0" collapsed="false">
      <c r="A9" s="3" t="s">
        <v>12</v>
      </c>
      <c r="B9" s="4" t="s">
        <v>13</v>
      </c>
    </row>
    <row r="10" customFormat="false" ht="55.5" hidden="false" customHeight="true" outlineLevel="0" collapsed="false">
      <c r="A10" s="3" t="s">
        <v>14</v>
      </c>
      <c r="B10" s="4" t="s">
        <v>15</v>
      </c>
    </row>
    <row r="11" customFormat="false" ht="84" hidden="false" customHeight="true" outlineLevel="0" collapsed="false">
      <c r="A11" s="3" t="s">
        <v>16</v>
      </c>
      <c r="B11" s="4" t="s">
        <v>17</v>
      </c>
    </row>
    <row r="12" customFormat="false" ht="55.5" hidden="false" customHeight="true" outlineLevel="0" collapsed="false">
      <c r="A12" s="3" t="s">
        <v>18</v>
      </c>
      <c r="B12" s="4" t="s">
        <v>19</v>
      </c>
    </row>
    <row r="13" customFormat="false" ht="84" hidden="false" customHeight="true" outlineLevel="0" collapsed="false">
      <c r="A13" s="3" t="s">
        <v>20</v>
      </c>
      <c r="B13" s="4" t="s">
        <v>21</v>
      </c>
    </row>
    <row r="14" customFormat="false" ht="69.75" hidden="false" customHeight="true" outlineLevel="0" collapsed="false">
      <c r="A14" s="3" t="s">
        <v>22</v>
      </c>
      <c r="B14" s="4" t="s">
        <v>23</v>
      </c>
    </row>
    <row r="15" customFormat="false" ht="27.75" hidden="false" customHeight="true" outlineLevel="0" collapsed="false">
      <c r="A15" s="3" t="s">
        <v>24</v>
      </c>
      <c r="B15" s="4" t="s">
        <v>25</v>
      </c>
    </row>
    <row r="16" customFormat="false" ht="27.75" hidden="false" customHeight="true" outlineLevel="0" collapsed="false">
      <c r="A16" s="3" t="s">
        <v>26</v>
      </c>
      <c r="B16" s="4" t="s">
        <v>27</v>
      </c>
    </row>
    <row r="17" customFormat="false" ht="27.75" hidden="false" customHeight="true" outlineLevel="0" collapsed="false">
      <c r="A17" s="3" t="s">
        <v>28</v>
      </c>
      <c r="B17" s="4" t="s">
        <v>29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8" min="6" style="0" width="12"/>
    <col collapsed="false" customWidth="true" hidden="false" outlineLevel="0" max="10" min="9" style="0" width="11"/>
    <col collapsed="false" customWidth="true" hidden="false" outlineLevel="0" max="11" min="11" style="0" width="26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</row>
    <row r="2" customFormat="false" ht="46.25" hidden="false" customHeight="false" outlineLevel="0" collapsed="false">
      <c r="A2" s="6" t="n">
        <v>1</v>
      </c>
      <c r="B2" s="7" t="s">
        <v>42</v>
      </c>
      <c r="C2" s="4" t="s">
        <v>43</v>
      </c>
      <c r="D2" s="7" t="s">
        <v>44</v>
      </c>
      <c r="E2" s="7" t="s">
        <v>45</v>
      </c>
      <c r="F2" s="8" t="n">
        <v>46291</v>
      </c>
      <c r="G2" s="8" t="n">
        <v>46294</v>
      </c>
      <c r="H2" s="9" t="n">
        <f aca="false">G2-F2+1</f>
        <v>4</v>
      </c>
      <c r="I2" s="6" t="s">
        <v>46</v>
      </c>
      <c r="J2" s="6" t="s">
        <v>47</v>
      </c>
      <c r="K2" s="7" t="s">
        <v>48</v>
      </c>
      <c r="L2" s="7" t="s">
        <v>49</v>
      </c>
    </row>
    <row r="3" customFormat="false" ht="46.25" hidden="false" customHeight="false" outlineLevel="0" collapsed="false">
      <c r="A3" s="10" t="n">
        <v>2</v>
      </c>
      <c r="B3" s="11" t="s">
        <v>50</v>
      </c>
      <c r="C3" s="12" t="s">
        <v>51</v>
      </c>
      <c r="D3" s="11" t="s">
        <v>44</v>
      </c>
      <c r="E3" s="11" t="s">
        <v>52</v>
      </c>
      <c r="F3" s="13" t="n">
        <v>46294</v>
      </c>
      <c r="G3" s="13" t="n">
        <v>46296</v>
      </c>
      <c r="H3" s="14" t="n">
        <f aca="false">G3-F3+1</f>
        <v>3</v>
      </c>
      <c r="I3" s="10" t="s">
        <v>53</v>
      </c>
      <c r="J3" s="10" t="s">
        <v>47</v>
      </c>
      <c r="K3" s="11" t="s">
        <v>54</v>
      </c>
      <c r="L3" s="11" t="s">
        <v>49</v>
      </c>
    </row>
    <row r="4" customFormat="false" ht="35.05" hidden="false" customHeight="false" outlineLevel="0" collapsed="false">
      <c r="A4" s="6" t="n">
        <v>3</v>
      </c>
      <c r="B4" s="7" t="s">
        <v>55</v>
      </c>
      <c r="C4" s="4" t="s">
        <v>56</v>
      </c>
      <c r="D4" s="7" t="s">
        <v>44</v>
      </c>
      <c r="E4" s="7" t="s">
        <v>57</v>
      </c>
      <c r="F4" s="8" t="n">
        <v>46296</v>
      </c>
      <c r="G4" s="8" t="n">
        <v>46305</v>
      </c>
      <c r="H4" s="9" t="n">
        <f aca="false">G4-F4+1</f>
        <v>10</v>
      </c>
      <c r="I4" s="6" t="s">
        <v>58</v>
      </c>
      <c r="J4" s="6" t="s">
        <v>47</v>
      </c>
      <c r="K4" s="7" t="s">
        <v>59</v>
      </c>
      <c r="L4" s="7" t="s">
        <v>60</v>
      </c>
    </row>
    <row r="5" customFormat="false" ht="23.85" hidden="false" customHeight="false" outlineLevel="0" collapsed="false">
      <c r="A5" s="15" t="n">
        <v>4</v>
      </c>
      <c r="B5" s="16" t="s">
        <v>61</v>
      </c>
      <c r="C5" s="17" t="s">
        <v>62</v>
      </c>
      <c r="D5" s="16" t="s">
        <v>44</v>
      </c>
      <c r="E5" s="16" t="s">
        <v>57</v>
      </c>
      <c r="F5" s="18" t="n">
        <v>46308</v>
      </c>
      <c r="G5" s="18" t="n">
        <v>46308</v>
      </c>
      <c r="H5" s="19" t="n">
        <f aca="false">G5-F5+1</f>
        <v>1</v>
      </c>
      <c r="I5" s="15" t="s">
        <v>63</v>
      </c>
      <c r="J5" s="15" t="s">
        <v>64</v>
      </c>
      <c r="K5" s="16" t="s">
        <v>65</v>
      </c>
      <c r="L5" s="16" t="s">
        <v>60</v>
      </c>
    </row>
    <row r="6" customFormat="false" ht="46.25" hidden="false" customHeight="false" outlineLevel="0" collapsed="false">
      <c r="A6" s="6" t="n">
        <v>5</v>
      </c>
      <c r="B6" s="7" t="s">
        <v>66</v>
      </c>
      <c r="C6" s="4" t="s">
        <v>67</v>
      </c>
      <c r="D6" s="7" t="s">
        <v>68</v>
      </c>
      <c r="E6" s="7" t="s">
        <v>52</v>
      </c>
      <c r="F6" s="8" t="n">
        <v>46309</v>
      </c>
      <c r="G6" s="8" t="n">
        <v>46315</v>
      </c>
      <c r="H6" s="9" t="n">
        <f aca="false">G6-F6+1</f>
        <v>7</v>
      </c>
      <c r="I6" s="6" t="s">
        <v>69</v>
      </c>
      <c r="J6" s="6" t="s">
        <v>47</v>
      </c>
      <c r="K6" s="7" t="s">
        <v>70</v>
      </c>
      <c r="L6" s="7" t="s">
        <v>60</v>
      </c>
    </row>
    <row r="7" customFormat="false" ht="35.05" hidden="false" customHeight="false" outlineLevel="0" collapsed="false">
      <c r="A7" s="10" t="n">
        <v>6</v>
      </c>
      <c r="B7" s="11" t="s">
        <v>71</v>
      </c>
      <c r="C7" s="12" t="s">
        <v>72</v>
      </c>
      <c r="D7" s="11" t="s">
        <v>68</v>
      </c>
      <c r="E7" s="11" t="s">
        <v>52</v>
      </c>
      <c r="F7" s="13" t="n">
        <v>46315</v>
      </c>
      <c r="G7" s="13" t="n">
        <v>46318</v>
      </c>
      <c r="H7" s="14" t="n">
        <f aca="false">G7-F7+1</f>
        <v>4</v>
      </c>
      <c r="I7" s="10" t="s">
        <v>73</v>
      </c>
      <c r="J7" s="10" t="s">
        <v>47</v>
      </c>
      <c r="K7" s="11" t="s">
        <v>74</v>
      </c>
      <c r="L7" s="11" t="s">
        <v>60</v>
      </c>
    </row>
    <row r="8" customFormat="false" ht="46.25" hidden="false" customHeight="false" outlineLevel="0" collapsed="false">
      <c r="A8" s="6" t="n">
        <v>7</v>
      </c>
      <c r="B8" s="7" t="s">
        <v>75</v>
      </c>
      <c r="C8" s="4" t="s">
        <v>76</v>
      </c>
      <c r="D8" s="7" t="s">
        <v>77</v>
      </c>
      <c r="E8" s="7" t="s">
        <v>52</v>
      </c>
      <c r="F8" s="8" t="n">
        <v>46318</v>
      </c>
      <c r="G8" s="8" t="n">
        <v>46323</v>
      </c>
      <c r="H8" s="9" t="n">
        <f aca="false">G8-F8+1</f>
        <v>6</v>
      </c>
      <c r="I8" s="6" t="s">
        <v>78</v>
      </c>
      <c r="J8" s="6" t="s">
        <v>47</v>
      </c>
      <c r="K8" s="7" t="s">
        <v>79</v>
      </c>
      <c r="L8" s="7" t="s">
        <v>60</v>
      </c>
    </row>
    <row r="9" customFormat="false" ht="35.05" hidden="false" customHeight="false" outlineLevel="0" collapsed="false">
      <c r="A9" s="10" t="n">
        <v>8</v>
      </c>
      <c r="B9" s="11" t="s">
        <v>80</v>
      </c>
      <c r="C9" s="12" t="s">
        <v>81</v>
      </c>
      <c r="D9" s="11" t="s">
        <v>77</v>
      </c>
      <c r="E9" s="11" t="s">
        <v>52</v>
      </c>
      <c r="F9" s="13" t="n">
        <v>46323</v>
      </c>
      <c r="G9" s="13" t="n">
        <v>46325</v>
      </c>
      <c r="H9" s="14" t="n">
        <f aca="false">G9-F9+1</f>
        <v>3</v>
      </c>
      <c r="I9" s="10" t="s">
        <v>82</v>
      </c>
      <c r="J9" s="10" t="s">
        <v>47</v>
      </c>
      <c r="K9" s="11" t="s">
        <v>83</v>
      </c>
      <c r="L9" s="11" t="s">
        <v>60</v>
      </c>
    </row>
    <row r="10" customFormat="false" ht="23.85" hidden="false" customHeight="false" outlineLevel="0" collapsed="false">
      <c r="A10" s="6" t="n">
        <v>9</v>
      </c>
      <c r="B10" s="7" t="s">
        <v>84</v>
      </c>
      <c r="C10" s="4" t="s">
        <v>85</v>
      </c>
      <c r="D10" s="7" t="s">
        <v>77</v>
      </c>
      <c r="E10" s="7" t="s">
        <v>57</v>
      </c>
      <c r="F10" s="8" t="n">
        <v>46325</v>
      </c>
      <c r="G10" s="8" t="n">
        <v>46339</v>
      </c>
      <c r="H10" s="9" t="n">
        <f aca="false">G10-F10+1</f>
        <v>15</v>
      </c>
      <c r="I10" s="6" t="s">
        <v>86</v>
      </c>
      <c r="J10" s="6" t="s">
        <v>47</v>
      </c>
      <c r="K10" s="7" t="s">
        <v>87</v>
      </c>
      <c r="L10" s="7" t="s">
        <v>60</v>
      </c>
    </row>
    <row r="11" customFormat="false" ht="35.05" hidden="false" customHeight="false" outlineLevel="0" collapsed="false">
      <c r="A11" s="15" t="n">
        <v>10</v>
      </c>
      <c r="B11" s="16" t="s">
        <v>88</v>
      </c>
      <c r="C11" s="17" t="s">
        <v>89</v>
      </c>
      <c r="D11" s="16" t="s">
        <v>77</v>
      </c>
      <c r="E11" s="16" t="s">
        <v>57</v>
      </c>
      <c r="F11" s="18" t="n">
        <v>46342</v>
      </c>
      <c r="G11" s="18" t="n">
        <v>46342</v>
      </c>
      <c r="H11" s="19" t="n">
        <f aca="false">G11-F11+1</f>
        <v>1</v>
      </c>
      <c r="I11" s="15" t="s">
        <v>90</v>
      </c>
      <c r="J11" s="15" t="s">
        <v>64</v>
      </c>
      <c r="K11" s="16" t="s">
        <v>65</v>
      </c>
      <c r="L11" s="16" t="s">
        <v>60</v>
      </c>
    </row>
    <row r="12" customFormat="false" ht="23.85" hidden="false" customHeight="false" outlineLevel="0" collapsed="false">
      <c r="A12" s="6" t="n">
        <v>11</v>
      </c>
      <c r="B12" s="7" t="s">
        <v>91</v>
      </c>
      <c r="C12" s="4" t="s">
        <v>92</v>
      </c>
      <c r="D12" s="7" t="s">
        <v>93</v>
      </c>
      <c r="E12" s="7" t="s">
        <v>52</v>
      </c>
      <c r="F12" s="8" t="n">
        <v>46343</v>
      </c>
      <c r="G12" s="8" t="n">
        <v>46353</v>
      </c>
      <c r="H12" s="9" t="n">
        <f aca="false">G12-F12+1</f>
        <v>11</v>
      </c>
      <c r="I12" s="6" t="s">
        <v>94</v>
      </c>
      <c r="J12" s="6" t="s">
        <v>47</v>
      </c>
      <c r="K12" s="7" t="s">
        <v>95</v>
      </c>
      <c r="L12" s="7" t="s">
        <v>60</v>
      </c>
    </row>
    <row r="13" customFormat="false" ht="35.05" hidden="false" customHeight="false" outlineLevel="0" collapsed="false">
      <c r="A13" s="10" t="n">
        <v>12</v>
      </c>
      <c r="B13" s="11" t="s">
        <v>96</v>
      </c>
      <c r="C13" s="12" t="s">
        <v>97</v>
      </c>
      <c r="D13" s="11" t="s">
        <v>98</v>
      </c>
      <c r="E13" s="11" t="s">
        <v>52</v>
      </c>
      <c r="F13" s="13" t="n">
        <v>46356</v>
      </c>
      <c r="G13" s="13" t="n">
        <v>46360</v>
      </c>
      <c r="H13" s="14" t="n">
        <f aca="false">G13-F13+1</f>
        <v>5</v>
      </c>
      <c r="I13" s="10" t="s">
        <v>99</v>
      </c>
      <c r="J13" s="10" t="s">
        <v>47</v>
      </c>
      <c r="K13" s="11" t="s">
        <v>100</v>
      </c>
      <c r="L13" s="11" t="s">
        <v>60</v>
      </c>
    </row>
    <row r="14" customFormat="false" ht="23.85" hidden="false" customHeight="false" outlineLevel="0" collapsed="false">
      <c r="A14" s="6" t="n">
        <v>13</v>
      </c>
      <c r="B14" s="7" t="s">
        <v>101</v>
      </c>
      <c r="C14" s="4" t="s">
        <v>102</v>
      </c>
      <c r="D14" s="7" t="s">
        <v>98</v>
      </c>
      <c r="E14" s="7" t="s">
        <v>52</v>
      </c>
      <c r="F14" s="8" t="n">
        <v>46360</v>
      </c>
      <c r="G14" s="8" t="n">
        <v>46364</v>
      </c>
      <c r="H14" s="9" t="n">
        <f aca="false">G14-F14+1</f>
        <v>5</v>
      </c>
      <c r="I14" s="6" t="s">
        <v>103</v>
      </c>
      <c r="J14" s="6" t="s">
        <v>47</v>
      </c>
      <c r="K14" s="7" t="s">
        <v>104</v>
      </c>
      <c r="L14" s="7" t="s">
        <v>60</v>
      </c>
    </row>
    <row r="15" customFormat="false" ht="23.85" hidden="false" customHeight="false" outlineLevel="0" collapsed="false">
      <c r="A15" s="10" t="n">
        <v>14</v>
      </c>
      <c r="B15" s="11" t="s">
        <v>105</v>
      </c>
      <c r="C15" s="12" t="s">
        <v>106</v>
      </c>
      <c r="D15" s="11" t="s">
        <v>107</v>
      </c>
      <c r="E15" s="11" t="s">
        <v>57</v>
      </c>
      <c r="F15" s="13" t="n">
        <v>46364</v>
      </c>
      <c r="G15" s="13" t="n">
        <v>46368</v>
      </c>
      <c r="H15" s="14" t="n">
        <f aca="false">G15-F15+1</f>
        <v>5</v>
      </c>
      <c r="I15" s="10" t="s">
        <v>108</v>
      </c>
      <c r="J15" s="10" t="s">
        <v>47</v>
      </c>
      <c r="K15" s="11" t="s">
        <v>109</v>
      </c>
      <c r="L15" s="11" t="s">
        <v>60</v>
      </c>
    </row>
    <row r="16" customFormat="false" ht="23.85" hidden="false" customHeight="false" outlineLevel="0" collapsed="false">
      <c r="A16" s="15" t="n">
        <v>15</v>
      </c>
      <c r="B16" s="16" t="s">
        <v>110</v>
      </c>
      <c r="C16" s="17" t="s">
        <v>111</v>
      </c>
      <c r="D16" s="16" t="s">
        <v>107</v>
      </c>
      <c r="E16" s="16" t="s">
        <v>57</v>
      </c>
      <c r="F16" s="18" t="n">
        <v>46370</v>
      </c>
      <c r="G16" s="18" t="n">
        <v>46370</v>
      </c>
      <c r="H16" s="19" t="n">
        <f aca="false">G16-F16+1</f>
        <v>1</v>
      </c>
      <c r="I16" s="15" t="s">
        <v>112</v>
      </c>
      <c r="J16" s="15" t="s">
        <v>64</v>
      </c>
      <c r="K16" s="16" t="s">
        <v>113</v>
      </c>
      <c r="L16" s="16" t="s">
        <v>60</v>
      </c>
    </row>
    <row r="18" customFormat="false" ht="15" hidden="false" customHeight="false" outlineLevel="0" collapsed="false">
      <c r="A18" s="20" t="s">
        <v>114</v>
      </c>
    </row>
    <row r="19" customFormat="false" ht="15" hidden="false" customHeight="false" outlineLevel="0" collapsed="false">
      <c r="A19" s="21" t="s">
        <v>115</v>
      </c>
      <c r="B19" s="22" t="s">
        <v>116</v>
      </c>
    </row>
    <row r="20" customFormat="false" ht="15" hidden="false" customHeight="false" outlineLevel="0" collapsed="false">
      <c r="A20" s="21" t="s">
        <v>117</v>
      </c>
      <c r="B20" s="21" t="s">
        <v>118</v>
      </c>
    </row>
  </sheetData>
  <conditionalFormatting sqref="L2:L16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"At Risk"</formula>
    </cfRule>
    <cfRule type="cellIs" priority="5" operator="equal" aboveAverage="0" equalAverage="0" bottom="0" percent="0" rank="0" text="" dxfId="2">
      <formula>"Delayed"</formula>
    </cfRule>
    <cfRule type="cellIs" priority="6" operator="equal" aboveAverage="0" equalAverage="0" bottom="0" percent="0" rank="0" text="" dxfId="3">
      <formula>"Not Started"</formula>
    </cfRule>
  </conditionalFormatting>
  <dataValidations count="2">
    <dataValidation allowBlank="true" errorStyle="stop" operator="between" showDropDown="false" showErrorMessage="false" showInputMessage="false" sqref="L2:L16" type="list">
      <formula1>"Not Started,In Progress,Complete,At Risk,Delayed"</formula1>
      <formula2>0</formula2>
    </dataValidation>
    <dataValidation allowBlank="true" errorStyle="stop" operator="between" showDropDown="false" showErrorMessage="false" showInputMessage="false" sqref="J2:J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5" t="s">
        <v>119</v>
      </c>
      <c r="B1" s="5" t="s">
        <v>120</v>
      </c>
      <c r="C1" s="5" t="s">
        <v>121</v>
      </c>
      <c r="D1" s="5" t="s">
        <v>122</v>
      </c>
      <c r="E1" s="5" t="s">
        <v>123</v>
      </c>
      <c r="F1" s="5" t="s">
        <v>124</v>
      </c>
    </row>
    <row r="2" customFormat="false" ht="35.05" hidden="false" customHeight="false" outlineLevel="0" collapsed="false">
      <c r="A2" s="6" t="n">
        <v>1</v>
      </c>
      <c r="B2" s="4" t="s">
        <v>125</v>
      </c>
      <c r="C2" s="6" t="s">
        <v>73</v>
      </c>
      <c r="D2" s="6" t="s">
        <v>126</v>
      </c>
      <c r="E2" s="6" t="s">
        <v>127</v>
      </c>
      <c r="F2" s="4" t="s">
        <v>128</v>
      </c>
    </row>
    <row r="3" customFormat="false" ht="23.85" hidden="false" customHeight="false" outlineLevel="0" collapsed="false">
      <c r="A3" s="10" t="n">
        <v>2</v>
      </c>
      <c r="B3" s="12" t="s">
        <v>129</v>
      </c>
      <c r="C3" s="10" t="s">
        <v>130</v>
      </c>
      <c r="D3" s="10" t="s">
        <v>127</v>
      </c>
      <c r="E3" s="10" t="s">
        <v>131</v>
      </c>
      <c r="F3" s="12" t="s">
        <v>132</v>
      </c>
    </row>
    <row r="4" customFormat="false" ht="35.05" hidden="false" customHeight="false" outlineLevel="0" collapsed="false">
      <c r="A4" s="6" t="n">
        <v>3</v>
      </c>
      <c r="B4" s="4" t="s">
        <v>133</v>
      </c>
      <c r="C4" s="6" t="s">
        <v>134</v>
      </c>
      <c r="D4" s="6" t="s">
        <v>131</v>
      </c>
      <c r="E4" s="6" t="s">
        <v>127</v>
      </c>
      <c r="F4" s="4" t="s">
        <v>135</v>
      </c>
    </row>
    <row r="5" customFormat="false" ht="23.85" hidden="false" customHeight="false" outlineLevel="0" collapsed="false">
      <c r="A5" s="10" t="n">
        <v>4</v>
      </c>
      <c r="B5" s="12" t="s">
        <v>136</v>
      </c>
      <c r="C5" s="10" t="s">
        <v>99</v>
      </c>
      <c r="D5" s="10" t="s">
        <v>127</v>
      </c>
      <c r="E5" s="10" t="s">
        <v>127</v>
      </c>
      <c r="F5" s="12" t="s">
        <v>137</v>
      </c>
    </row>
    <row r="6" customFormat="false" ht="35.05" hidden="false" customHeight="false" outlineLevel="0" collapsed="false">
      <c r="A6" s="6" t="n">
        <v>5</v>
      </c>
      <c r="B6" s="4" t="s">
        <v>138</v>
      </c>
      <c r="C6" s="6" t="s">
        <v>139</v>
      </c>
      <c r="D6" s="6" t="s">
        <v>131</v>
      </c>
      <c r="E6" s="6" t="s">
        <v>127</v>
      </c>
      <c r="F6" s="4" t="s">
        <v>140</v>
      </c>
    </row>
    <row r="7" customFormat="false" ht="35.05" hidden="false" customHeight="false" outlineLevel="0" collapsed="false">
      <c r="A7" s="10" t="n">
        <v>6</v>
      </c>
      <c r="B7" s="12" t="s">
        <v>141</v>
      </c>
      <c r="C7" s="10" t="s">
        <v>142</v>
      </c>
      <c r="D7" s="10" t="s">
        <v>131</v>
      </c>
      <c r="E7" s="10" t="s">
        <v>143</v>
      </c>
      <c r="F7" s="12" t="s">
        <v>144</v>
      </c>
    </row>
    <row r="8" customFormat="false" ht="23.85" hidden="false" customHeight="false" outlineLevel="0" collapsed="false">
      <c r="A8" s="6" t="n">
        <v>7</v>
      </c>
      <c r="B8" s="4" t="s">
        <v>145</v>
      </c>
      <c r="C8" s="6" t="s">
        <v>146</v>
      </c>
      <c r="D8" s="6" t="s">
        <v>126</v>
      </c>
      <c r="E8" s="6" t="s">
        <v>131</v>
      </c>
      <c r="F8" s="4" t="s">
        <v>147</v>
      </c>
    </row>
  </sheetData>
  <conditionalFormatting sqref="E2:E8">
    <cfRule type="cellIs" priority="2" operator="equal" aboveAverage="0" equalAverage="0" bottom="0" percent="0" rank="0" text="" dxfId="2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0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2026-10-05T20:46:12Z</dcterms:created>
  <dc:creator>openpyxl</dc:creator>
  <dc:description/>
  <dc:language>en-US</dc:language>
  <cp:lastModifiedBy/>
  <dcterms:modified xsi:type="dcterms:W3CDTF">2026-10-05T20:46:12Z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